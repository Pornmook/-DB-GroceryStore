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10" windowWidth="14810" windowHeight="8010"/>
  </bookViews>
  <sheets>
    <sheet name="Project Schedule" sheetId="1" r:id="rId1"/>
    <sheet name="Feasibility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B35" i="2"/>
  <c r="K31" i="2"/>
  <c r="D32" i="2"/>
  <c r="E32" i="2"/>
  <c r="F32" i="2"/>
  <c r="G32" i="2"/>
  <c r="H32" i="2"/>
  <c r="I32" i="2"/>
  <c r="J32" i="2"/>
  <c r="C32" i="2"/>
  <c r="B30" i="2"/>
  <c r="J29" i="2"/>
  <c r="I29" i="2"/>
  <c r="H29" i="2"/>
  <c r="G29" i="2"/>
  <c r="F29" i="2"/>
  <c r="E29" i="2"/>
  <c r="D29" i="2"/>
  <c r="C29" i="2"/>
  <c r="K29" i="2" s="1"/>
  <c r="K28" i="2"/>
  <c r="K27" i="2"/>
  <c r="K26" i="2"/>
  <c r="J22" i="2"/>
  <c r="I22" i="2"/>
  <c r="H22" i="2"/>
  <c r="G22" i="2"/>
  <c r="F22" i="2"/>
  <c r="E22" i="2"/>
  <c r="D22" i="2"/>
  <c r="C22" i="2"/>
  <c r="K22" i="2" s="1"/>
  <c r="K21" i="2"/>
  <c r="K20" i="2"/>
  <c r="K13" i="2"/>
  <c r="K12" i="2"/>
  <c r="K11" i="2"/>
  <c r="H14" i="2"/>
  <c r="E14" i="2"/>
  <c r="E30" i="2" s="1"/>
  <c r="G14" i="2"/>
  <c r="D14" i="2"/>
  <c r="C14" i="2"/>
  <c r="K8" i="2"/>
  <c r="K7" i="2"/>
  <c r="K6" i="2"/>
  <c r="K5" i="2"/>
  <c r="C9" i="2"/>
  <c r="D9" i="2"/>
  <c r="J9" i="2"/>
  <c r="I9" i="2"/>
  <c r="H9" i="2"/>
  <c r="F9" i="2"/>
  <c r="E9" i="2"/>
  <c r="E31" i="2" s="1"/>
  <c r="K9" i="2" l="1"/>
  <c r="C30" i="2"/>
  <c r="C31" i="2" s="1"/>
  <c r="K14" i="2"/>
  <c r="D30" i="2"/>
  <c r="D31" i="2" s="1"/>
  <c r="F30" i="2"/>
  <c r="F31" i="2" s="1"/>
  <c r="G30" i="2"/>
  <c r="G31" i="2" s="1"/>
  <c r="H30" i="2"/>
  <c r="H31" i="2" s="1"/>
  <c r="I30" i="2"/>
  <c r="I31" i="2" s="1"/>
  <c r="J30" i="2"/>
  <c r="J31" i="2" s="1"/>
  <c r="K30" i="2"/>
</calcChain>
</file>

<file path=xl/sharedStrings.xml><?xml version="1.0" encoding="utf-8"?>
<sst xmlns="http://schemas.openxmlformats.org/spreadsheetml/2006/main" count="203" uniqueCount="108">
  <si>
    <t>Project Grocery Store</t>
  </si>
  <si>
    <t>[Company Name]: -</t>
  </si>
  <si>
    <t>Project Start Date</t>
  </si>
  <si>
    <t>Project Lead</t>
  </si>
  <si>
    <t>Pornmook Wasthong</t>
  </si>
  <si>
    <t>Task Name</t>
  </si>
  <si>
    <t>Plan Start</t>
  </si>
  <si>
    <t>Duration</t>
  </si>
  <si>
    <t>Staff Name</t>
  </si>
  <si>
    <t>Actual % of Work</t>
  </si>
  <si>
    <t>Actual Start</t>
  </si>
  <si>
    <t>End</t>
  </si>
  <si>
    <t>% Done</t>
  </si>
  <si>
    <t>Project Planning Activities</t>
  </si>
  <si>
    <t>(day)</t>
  </si>
  <si>
    <t>Define the Problem</t>
  </si>
  <si>
    <t>1.1.1</t>
  </si>
  <si>
    <t>Meet with stakeholder</t>
  </si>
  <si>
    <t>1.1.2</t>
  </si>
  <si>
    <t>Definie scope</t>
  </si>
  <si>
    <t>1.1.3</t>
  </si>
  <si>
    <t>Analyze problem</t>
  </si>
  <si>
    <t>Pavida Jainol</t>
  </si>
  <si>
    <t>Napatsorn Chimwiset</t>
  </si>
  <si>
    <t>Pannawat khookaew</t>
  </si>
  <si>
    <t>1.1.4</t>
  </si>
  <si>
    <t>Identify business benefits</t>
  </si>
  <si>
    <t>1.1.5</t>
  </si>
  <si>
    <t>Identify system capabilities</t>
  </si>
  <si>
    <t>1.1.6</t>
  </si>
  <si>
    <t>Develop context diagram</t>
  </si>
  <si>
    <t>Produce the project schedule</t>
  </si>
  <si>
    <t>1.2.1</t>
  </si>
  <si>
    <t>Develop WBS</t>
  </si>
  <si>
    <t>1.2.2</t>
  </si>
  <si>
    <t>Estimate  task durations</t>
  </si>
  <si>
    <t>1.2.3</t>
  </si>
  <si>
    <t>Determine sequences</t>
  </si>
  <si>
    <t>1.2.4</t>
  </si>
  <si>
    <t>Assign Resource</t>
  </si>
  <si>
    <t>Confirm project feasibility</t>
  </si>
  <si>
    <t>1.3.1</t>
  </si>
  <si>
    <t>Identify intangible cost/benefit</t>
  </si>
  <si>
    <t>1.3.2</t>
  </si>
  <si>
    <t>Estimate tangible benefits</t>
  </si>
  <si>
    <t>1.3.3</t>
  </si>
  <si>
    <t>Calculate cost/benefits</t>
  </si>
  <si>
    <t>1.3.4</t>
  </si>
  <si>
    <t xml:space="preserve">Organization feasibility </t>
  </si>
  <si>
    <t>1.3.5</t>
  </si>
  <si>
    <t>Technical feasibility</t>
  </si>
  <si>
    <t>1.3.6</t>
  </si>
  <si>
    <t>Evaluate resource availability</t>
  </si>
  <si>
    <t>1.3.7</t>
  </si>
  <si>
    <t>Risk analysis</t>
  </si>
  <si>
    <t>Staff the project</t>
  </si>
  <si>
    <t>1.4.1</t>
  </si>
  <si>
    <t>Develop resource plan</t>
  </si>
  <si>
    <t>1.4.2</t>
  </si>
  <si>
    <t>Find project team</t>
  </si>
  <si>
    <t>1.4.3</t>
  </si>
  <si>
    <t>Appoint a coordinator with user</t>
  </si>
  <si>
    <t>1.4.4</t>
  </si>
  <si>
    <t>Training the project team</t>
  </si>
  <si>
    <t>Launch the project</t>
  </si>
  <si>
    <t>1.5.1</t>
  </si>
  <si>
    <t>Summary project</t>
  </si>
  <si>
    <t>1.5.2</t>
  </si>
  <si>
    <t>Prepare project presentation to stakeholder</t>
  </si>
  <si>
    <t>1.5.3</t>
  </si>
  <si>
    <t>Testing project</t>
  </si>
  <si>
    <t>1.5.4</t>
  </si>
  <si>
    <t>Define problem and develop the project</t>
  </si>
  <si>
    <t>Feasibility year 1-8</t>
  </si>
  <si>
    <t> </t>
  </si>
  <si>
    <t>Year</t>
  </si>
  <si>
    <t>Benefits</t>
  </si>
  <si>
    <t>Increase sales</t>
  </si>
  <si>
    <t>Reduction delivery cost</t>
  </si>
  <si>
    <t>Reduction product waste</t>
  </si>
  <si>
    <t>Reduction problem report</t>
  </si>
  <si>
    <t>Total benefits</t>
  </si>
  <si>
    <t>Delivery costs</t>
  </si>
  <si>
    <t>Fuel</t>
  </si>
  <si>
    <t>Insurance</t>
  </si>
  <si>
    <t>Delivery driver</t>
  </si>
  <si>
    <t>Total Delivery costs</t>
  </si>
  <si>
    <t>Store costs</t>
  </si>
  <si>
    <t>Hardware</t>
  </si>
  <si>
    <t>- 2 Cash registers @ 8,800</t>
  </si>
  <si>
    <t>- Computers</t>
  </si>
  <si>
    <t>- Barcode warehouse scanner</t>
  </si>
  <si>
    <t>Employee</t>
  </si>
  <si>
    <t>Costs of utilities</t>
  </si>
  <si>
    <t>Total store costs</t>
  </si>
  <si>
    <t>Website maintenance costs</t>
  </si>
  <si>
    <t>Software</t>
  </si>
  <si>
    <t>Server</t>
  </si>
  <si>
    <t>Developers</t>
  </si>
  <si>
    <t>Total development costs</t>
  </si>
  <si>
    <t>Total costs</t>
  </si>
  <si>
    <t>Total benefits – Total costs</t>
  </si>
  <si>
    <t>Cumulative Net Cash Flow</t>
  </si>
  <si>
    <t>Return on Investment (ROI)</t>
  </si>
  <si>
    <t>0.18%           (92,961.72/5,075,932.32)</t>
  </si>
  <si>
    <t>Break – Event Point</t>
  </si>
  <si>
    <t>6.31 year       (costs are fully recovered in year 7; [135,105.96 – 92,961.72]/135,105.96 = .31)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</si>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</sst>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3">
    <font>
      <sz val="11"/>
      <color theme="1"/>
      <name val="Calibri"/>
      <family val="2"/>
      <scheme val="minor"/>
    </font>
    <font>
      <sz val="16"/>
      <color rgb="FF4472C4"/>
      <name val="Calibri"/>
      <scheme val="minor"/>
    </font>
    <font>
      <sz val="16"/>
      <color theme="1"/>
      <name val="Calibri"/>
      <family val="2"/>
      <scheme val="minor"/>
    </font>
    <font>
      <sz val="12"/>
      <color rgb="FF000000"/>
      <name val="Tahoma"/>
    </font>
    <font>
      <b/>
      <sz val="20"/>
      <color theme="1"/>
      <name val="TH Sarabun New"/>
      <family val="2"/>
      <charset val="1"/>
    </font>
    <font>
      <sz val="12"/>
      <color theme="1"/>
      <name val="TH Sarabun New"/>
      <family val="2"/>
      <charset val="1"/>
    </font>
    <font>
      <b/>
      <sz val="14"/>
      <color theme="1"/>
      <name val="TH Sarabun New"/>
      <family val="2"/>
      <charset val="1"/>
    </font>
    <font>
      <b/>
      <sz val="12"/>
      <color theme="1"/>
      <name val="TH Sarabun New"/>
      <family val="2"/>
      <charset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5" fillId="0" borderId="10" xfId="0" applyFont="1" applyBorder="1"/>
    <xf numFmtId="3" fontId="5" fillId="0" borderId="10" xfId="0" applyNumberFormat="1" applyFont="1" applyBorder="1"/>
    <xf numFmtId="0" fontId="7" fillId="0" borderId="10" xfId="0" applyFont="1" applyBorder="1"/>
    <xf numFmtId="4" fontId="5" fillId="0" borderId="10" xfId="0" applyNumberFormat="1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5" xfId="0" quotePrefix="1" applyFont="1" applyBorder="1"/>
    <xf numFmtId="3" fontId="5" fillId="0" borderId="15" xfId="0" applyNumberFormat="1" applyFont="1" applyBorder="1"/>
    <xf numFmtId="0" fontId="5" fillId="0" borderId="16" xfId="0" applyFont="1" applyBorder="1"/>
    <xf numFmtId="0" fontId="5" fillId="0" borderId="16" xfId="0" quotePrefix="1" applyFont="1" applyBorder="1"/>
    <xf numFmtId="3" fontId="5" fillId="0" borderId="16" xfId="0" applyNumberFormat="1" applyFont="1" applyBorder="1"/>
    <xf numFmtId="0" fontId="7" fillId="0" borderId="11" xfId="0" applyFont="1" applyBorder="1"/>
    <xf numFmtId="3" fontId="5" fillId="0" borderId="14" xfId="0" applyNumberFormat="1" applyFont="1" applyBorder="1"/>
    <xf numFmtId="4" fontId="5" fillId="0" borderId="14" xfId="0" applyNumberFormat="1" applyFon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14" fontId="9" fillId="0" borderId="7" xfId="0" applyNumberFormat="1" applyFont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4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/>
    </xf>
    <xf numFmtId="0" fontId="8" fillId="0" borderId="0" xfId="0" applyFont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/>
    <xf numFmtId="9" fontId="8" fillId="0" borderId="0" xfId="0" applyNumberFormat="1" applyFont="1" applyAlignment="1">
      <alignment horizontal="center"/>
    </xf>
    <xf numFmtId="9" fontId="8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8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9" fontId="8" fillId="4" borderId="8" xfId="0" applyNumberFormat="1" applyFont="1" applyFill="1" applyBorder="1" applyAlignment="1">
      <alignment horizontal="center"/>
    </xf>
    <xf numFmtId="0" fontId="8" fillId="3" borderId="0" xfId="0" applyFont="1" applyFill="1"/>
    <xf numFmtId="0" fontId="11" fillId="2" borderId="0" xfId="0" applyFont="1" applyFill="1"/>
    <xf numFmtId="0" fontId="9" fillId="0" borderId="0" xfId="0" applyFont="1" applyAlignment="1">
      <alignment horizontal="right"/>
    </xf>
    <xf numFmtId="9" fontId="8" fillId="4" borderId="9" xfId="0" applyNumberFormat="1" applyFont="1" applyFill="1" applyBorder="1" applyAlignment="1">
      <alignment horizontal="center"/>
    </xf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tabSelected="1" topLeftCell="A78" workbookViewId="0">
      <selection activeCell="I89" sqref="I89"/>
    </sheetView>
  </sheetViews>
  <sheetFormatPr defaultRowHeight="14.5"/>
  <cols>
    <col min="2" max="2" width="41.7265625" customWidth="1"/>
    <col min="3" max="3" width="9.6328125" bestFit="1" customWidth="1"/>
    <col min="4" max="4" width="11.08984375" customWidth="1"/>
    <col min="5" max="5" width="17.453125" customWidth="1"/>
    <col min="6" max="6" width="16.26953125" customWidth="1"/>
    <col min="7" max="7" width="12.26953125" customWidth="1"/>
    <col min="8" max="8" width="9.453125" bestFit="1" customWidth="1"/>
    <col min="10" max="10" width="4.36328125" customWidth="1"/>
    <col min="11" max="11" width="4.7265625" customWidth="1"/>
    <col min="12" max="12" width="4.90625" customWidth="1"/>
    <col min="13" max="13" width="4" customWidth="1"/>
    <col min="14" max="14" width="3.453125" customWidth="1"/>
    <col min="15" max="15" width="4.26953125" customWidth="1"/>
    <col min="16" max="17" width="4.36328125" customWidth="1"/>
    <col min="18" max="18" width="4.7265625" customWidth="1"/>
    <col min="19" max="19" width="4.90625" customWidth="1"/>
    <col min="20" max="20" width="4" customWidth="1"/>
    <col min="21" max="21" width="3.453125" customWidth="1"/>
    <col min="22" max="22" width="4.26953125" customWidth="1"/>
    <col min="23" max="24" width="4.36328125" customWidth="1"/>
    <col min="25" max="25" width="4.7265625" customWidth="1"/>
    <col min="26" max="26" width="4.90625" customWidth="1"/>
    <col min="27" max="27" width="4" customWidth="1"/>
    <col min="28" max="28" width="3.453125" customWidth="1"/>
    <col min="29" max="29" width="4.26953125" customWidth="1"/>
    <col min="30" max="31" width="4.36328125" customWidth="1"/>
    <col min="32" max="32" width="4.7265625" customWidth="1"/>
    <col min="33" max="33" width="4.90625" customWidth="1"/>
    <col min="34" max="34" width="4" customWidth="1"/>
    <col min="35" max="35" width="3.453125" customWidth="1"/>
    <col min="36" max="36" width="4.26953125" customWidth="1"/>
    <col min="37" max="38" width="4.36328125" customWidth="1"/>
    <col min="39" max="39" width="4.7265625" customWidth="1"/>
    <col min="40" max="40" width="4.90625" customWidth="1"/>
    <col min="41" max="41" width="4" customWidth="1"/>
    <col min="42" max="42" width="3.453125" customWidth="1"/>
    <col min="43" max="43" width="4.26953125" customWidth="1"/>
    <col min="44" max="45" width="4.36328125" customWidth="1"/>
    <col min="46" max="46" width="4.7265625" customWidth="1"/>
    <col min="47" max="47" width="4.90625" customWidth="1"/>
    <col min="48" max="48" width="4" customWidth="1"/>
    <col min="49" max="49" width="3.453125" customWidth="1"/>
    <col min="50" max="50" width="4.26953125" customWidth="1"/>
    <col min="51" max="51" width="4.36328125" customWidth="1"/>
  </cols>
  <sheetData>
    <row r="1" spans="1:9" ht="21">
      <c r="A1" s="1" t="s">
        <v>0</v>
      </c>
    </row>
    <row r="2" spans="1:9">
      <c r="A2" t="s">
        <v>1</v>
      </c>
    </row>
    <row r="4" spans="1:9">
      <c r="B4" s="3" t="s">
        <v>2</v>
      </c>
      <c r="C4" s="18">
        <v>45082</v>
      </c>
      <c r="D4" s="19"/>
      <c r="E4" s="19"/>
      <c r="F4" s="19"/>
      <c r="G4" s="19"/>
      <c r="H4" s="19"/>
      <c r="I4" s="20"/>
    </row>
    <row r="5" spans="1:9" ht="21">
      <c r="B5" s="3" t="s">
        <v>3</v>
      </c>
      <c r="C5" s="21" t="s">
        <v>4</v>
      </c>
      <c r="D5" s="22"/>
      <c r="E5" s="22"/>
      <c r="F5" s="22"/>
      <c r="G5" s="22"/>
      <c r="H5" s="22"/>
      <c r="I5" s="23"/>
    </row>
    <row r="7" spans="1:9">
      <c r="A7" s="39"/>
      <c r="B7" s="40" t="s">
        <v>5</v>
      </c>
      <c r="C7" s="41" t="s">
        <v>6</v>
      </c>
      <c r="D7" s="41" t="s">
        <v>7</v>
      </c>
      <c r="E7" s="42" t="s">
        <v>8</v>
      </c>
      <c r="F7" s="41" t="s">
        <v>9</v>
      </c>
      <c r="G7" s="41" t="s">
        <v>10</v>
      </c>
      <c r="H7" s="41" t="s">
        <v>11</v>
      </c>
      <c r="I7" s="41" t="s">
        <v>12</v>
      </c>
    </row>
    <row r="8" spans="1:9">
      <c r="A8" s="40">
        <v>1</v>
      </c>
      <c r="B8" s="40" t="s">
        <v>13</v>
      </c>
      <c r="C8" s="43"/>
      <c r="D8" s="44" t="s">
        <v>14</v>
      </c>
      <c r="E8" s="43"/>
      <c r="F8" s="43"/>
      <c r="G8" s="43"/>
      <c r="H8" s="43"/>
      <c r="I8" s="43"/>
    </row>
    <row r="9" spans="1:9">
      <c r="A9" s="43">
        <v>1.1000000000000001</v>
      </c>
      <c r="B9" s="40" t="s">
        <v>15</v>
      </c>
      <c r="C9" s="43"/>
      <c r="D9" s="43"/>
      <c r="E9" s="43"/>
      <c r="F9" s="43"/>
      <c r="G9" s="43"/>
      <c r="H9" s="43"/>
      <c r="I9" s="43"/>
    </row>
    <row r="10" spans="1:9">
      <c r="A10" s="39" t="s">
        <v>16</v>
      </c>
      <c r="B10" s="39" t="s">
        <v>17</v>
      </c>
      <c r="C10" s="34">
        <v>45140</v>
      </c>
      <c r="D10" s="45">
        <v>1</v>
      </c>
      <c r="E10" s="46" t="s">
        <v>4</v>
      </c>
      <c r="F10" s="47">
        <v>1</v>
      </c>
      <c r="G10" s="35">
        <v>45140</v>
      </c>
      <c r="H10" s="34">
        <v>45140</v>
      </c>
      <c r="I10" s="48">
        <v>1</v>
      </c>
    </row>
    <row r="11" spans="1:9">
      <c r="A11" s="49" t="s">
        <v>18</v>
      </c>
      <c r="B11" s="46" t="s">
        <v>19</v>
      </c>
      <c r="C11" s="34">
        <v>45141</v>
      </c>
      <c r="D11" s="45">
        <v>1</v>
      </c>
      <c r="E11" s="46" t="s">
        <v>4</v>
      </c>
      <c r="F11" s="47">
        <v>0.2</v>
      </c>
      <c r="G11" s="35">
        <v>45141</v>
      </c>
      <c r="H11" s="34">
        <v>45141</v>
      </c>
      <c r="I11" s="48">
        <v>1</v>
      </c>
    </row>
    <row r="12" spans="1:9">
      <c r="A12" s="50" t="s">
        <v>20</v>
      </c>
      <c r="B12" s="39" t="s">
        <v>21</v>
      </c>
      <c r="C12" s="36">
        <v>45142</v>
      </c>
      <c r="D12" s="45">
        <v>2</v>
      </c>
      <c r="E12" s="46" t="s">
        <v>4</v>
      </c>
      <c r="F12" s="47">
        <v>1</v>
      </c>
      <c r="G12" s="37">
        <v>45143</v>
      </c>
      <c r="H12" s="36">
        <v>45143</v>
      </c>
      <c r="I12" s="48">
        <v>1</v>
      </c>
    </row>
    <row r="13" spans="1:9">
      <c r="A13" s="39"/>
      <c r="B13" s="39"/>
      <c r="C13" s="39"/>
      <c r="D13" s="45"/>
      <c r="E13" s="39" t="s">
        <v>22</v>
      </c>
      <c r="F13" s="47">
        <v>0.2</v>
      </c>
      <c r="G13" s="51"/>
      <c r="H13" s="39"/>
      <c r="I13" s="52"/>
    </row>
    <row r="14" spans="1:9">
      <c r="A14" s="39"/>
      <c r="B14" s="39"/>
      <c r="C14" s="39"/>
      <c r="D14" s="45"/>
      <c r="E14" s="46" t="s">
        <v>23</v>
      </c>
      <c r="F14" s="47">
        <v>0.2</v>
      </c>
      <c r="G14" s="51"/>
      <c r="H14" s="39"/>
      <c r="I14" s="52"/>
    </row>
    <row r="15" spans="1:9">
      <c r="A15" s="50"/>
      <c r="B15" s="39"/>
      <c r="C15" s="36"/>
      <c r="D15" s="45"/>
      <c r="E15" s="46" t="s">
        <v>24</v>
      </c>
      <c r="F15" s="47">
        <v>0.2</v>
      </c>
      <c r="G15" s="37"/>
      <c r="H15" s="36"/>
      <c r="I15" s="47"/>
    </row>
    <row r="16" spans="1:9">
      <c r="A16" s="50" t="s">
        <v>25</v>
      </c>
      <c r="B16" s="39" t="s">
        <v>26</v>
      </c>
      <c r="C16" s="36">
        <v>45142</v>
      </c>
      <c r="D16" s="45">
        <v>2</v>
      </c>
      <c r="E16" s="46" t="s">
        <v>4</v>
      </c>
      <c r="F16" s="47">
        <v>0.5</v>
      </c>
      <c r="G16" s="37">
        <v>45143</v>
      </c>
      <c r="H16" s="53">
        <v>45204</v>
      </c>
      <c r="I16" s="54">
        <v>1</v>
      </c>
    </row>
    <row r="17" spans="1:9">
      <c r="A17" s="39"/>
      <c r="B17" s="39"/>
      <c r="C17" s="39"/>
      <c r="D17" s="45"/>
      <c r="E17" s="46" t="s">
        <v>23</v>
      </c>
      <c r="F17" s="47">
        <v>0.5</v>
      </c>
      <c r="G17" s="55"/>
      <c r="H17" s="52"/>
      <c r="I17" s="52"/>
    </row>
    <row r="18" spans="1:9">
      <c r="A18" s="50" t="s">
        <v>27</v>
      </c>
      <c r="B18" s="39" t="s">
        <v>28</v>
      </c>
      <c r="C18" s="36">
        <v>45143</v>
      </c>
      <c r="D18" s="45">
        <v>2</v>
      </c>
      <c r="E18" s="46" t="s">
        <v>4</v>
      </c>
      <c r="F18" s="47">
        <v>0.5</v>
      </c>
      <c r="G18" s="38">
        <v>45143</v>
      </c>
      <c r="H18" s="53">
        <v>45204</v>
      </c>
      <c r="I18" s="54">
        <v>1</v>
      </c>
    </row>
    <row r="19" spans="1:9">
      <c r="A19" s="39"/>
      <c r="B19" s="39"/>
      <c r="C19" s="39"/>
      <c r="D19" s="45"/>
      <c r="E19" s="46" t="s">
        <v>24</v>
      </c>
      <c r="F19" s="47">
        <v>0.5</v>
      </c>
      <c r="G19" s="51"/>
      <c r="H19" s="52"/>
      <c r="I19" s="52"/>
    </row>
    <row r="20" spans="1:9">
      <c r="A20" s="50" t="s">
        <v>29</v>
      </c>
      <c r="B20" s="39" t="s">
        <v>30</v>
      </c>
      <c r="C20" s="34">
        <v>45144</v>
      </c>
      <c r="D20" s="45">
        <v>4</v>
      </c>
      <c r="E20" s="46" t="s">
        <v>4</v>
      </c>
      <c r="F20" s="47">
        <v>1</v>
      </c>
      <c r="G20" s="38">
        <v>45145</v>
      </c>
      <c r="H20" s="53">
        <v>45237</v>
      </c>
      <c r="I20" s="54">
        <v>1</v>
      </c>
    </row>
    <row r="21" spans="1:9">
      <c r="A21" s="40">
        <v>1.2</v>
      </c>
      <c r="B21" s="56" t="s">
        <v>31</v>
      </c>
      <c r="C21" s="43"/>
      <c r="D21" s="43"/>
      <c r="E21" s="43"/>
      <c r="F21" s="43"/>
      <c r="G21" s="43"/>
      <c r="H21" s="43"/>
      <c r="I21" s="44"/>
    </row>
    <row r="22" spans="1:9">
      <c r="A22" s="49" t="s">
        <v>32</v>
      </c>
      <c r="B22" s="39" t="s">
        <v>33</v>
      </c>
      <c r="C22" s="36">
        <v>45147</v>
      </c>
      <c r="D22" s="51">
        <v>1</v>
      </c>
      <c r="E22" s="39" t="s">
        <v>22</v>
      </c>
      <c r="F22" s="47">
        <v>1</v>
      </c>
      <c r="G22" s="37">
        <v>45147</v>
      </c>
      <c r="H22" s="36">
        <v>45147</v>
      </c>
      <c r="I22" s="48">
        <v>1</v>
      </c>
    </row>
    <row r="23" spans="1:9">
      <c r="A23" s="57" t="s">
        <v>34</v>
      </c>
      <c r="B23" s="39" t="s">
        <v>35</v>
      </c>
      <c r="C23" s="34">
        <v>45149</v>
      </c>
      <c r="D23" s="51">
        <v>1</v>
      </c>
      <c r="E23" s="46" t="s">
        <v>24</v>
      </c>
      <c r="F23" s="47">
        <v>0.2</v>
      </c>
      <c r="G23" s="35">
        <v>45150</v>
      </c>
      <c r="H23" s="34">
        <v>45149</v>
      </c>
      <c r="I23" s="48">
        <v>1</v>
      </c>
    </row>
    <row r="24" spans="1:9">
      <c r="A24" s="49"/>
      <c r="B24" s="39"/>
      <c r="C24" s="39"/>
      <c r="D24" s="51"/>
      <c r="E24" s="46" t="s">
        <v>4</v>
      </c>
      <c r="F24" s="47">
        <v>0.2</v>
      </c>
      <c r="G24" s="55"/>
      <c r="H24" s="39"/>
      <c r="I24" s="52"/>
    </row>
    <row r="25" spans="1:9">
      <c r="A25" s="49"/>
      <c r="B25" s="39"/>
      <c r="C25" s="39"/>
      <c r="D25" s="51"/>
      <c r="E25" s="39" t="s">
        <v>22</v>
      </c>
      <c r="F25" s="47">
        <v>0.2</v>
      </c>
      <c r="G25" s="55"/>
      <c r="H25" s="39"/>
      <c r="I25" s="52"/>
    </row>
    <row r="26" spans="1:9">
      <c r="A26" s="49"/>
      <c r="B26" s="39"/>
      <c r="C26" s="39"/>
      <c r="D26" s="51"/>
      <c r="E26" s="46" t="s">
        <v>23</v>
      </c>
      <c r="F26" s="47">
        <v>0.2</v>
      </c>
      <c r="G26" s="55"/>
      <c r="H26" s="39"/>
      <c r="I26" s="52"/>
    </row>
    <row r="27" spans="1:9">
      <c r="A27" s="57" t="s">
        <v>36</v>
      </c>
      <c r="B27" s="39" t="s">
        <v>37</v>
      </c>
      <c r="C27" s="34">
        <v>45149</v>
      </c>
      <c r="D27" s="51">
        <v>1</v>
      </c>
      <c r="E27" s="46" t="s">
        <v>4</v>
      </c>
      <c r="F27" s="47">
        <v>1</v>
      </c>
      <c r="G27" s="35">
        <v>45150</v>
      </c>
      <c r="H27" s="34">
        <v>45150</v>
      </c>
      <c r="I27" s="48">
        <v>1</v>
      </c>
    </row>
    <row r="28" spans="1:9">
      <c r="A28" s="57" t="s">
        <v>38</v>
      </c>
      <c r="B28" s="39" t="s">
        <v>39</v>
      </c>
      <c r="C28" s="34">
        <v>45150</v>
      </c>
      <c r="D28" s="51">
        <v>1</v>
      </c>
      <c r="E28" s="46" t="s">
        <v>24</v>
      </c>
      <c r="F28" s="47">
        <v>0.2</v>
      </c>
      <c r="G28" s="35">
        <v>45151</v>
      </c>
      <c r="H28" s="34">
        <v>45151</v>
      </c>
      <c r="I28" s="48">
        <v>1</v>
      </c>
    </row>
    <row r="29" spans="1:9">
      <c r="A29" s="39"/>
      <c r="B29" s="39"/>
      <c r="C29" s="39"/>
      <c r="D29" s="51"/>
      <c r="E29" s="46" t="s">
        <v>4</v>
      </c>
      <c r="F29" s="47">
        <v>0.2</v>
      </c>
      <c r="G29" s="55"/>
      <c r="H29" s="39"/>
      <c r="I29" s="52"/>
    </row>
    <row r="30" spans="1:9">
      <c r="A30" s="39"/>
      <c r="B30" s="39"/>
      <c r="C30" s="39"/>
      <c r="D30" s="51"/>
      <c r="E30" s="39" t="s">
        <v>22</v>
      </c>
      <c r="F30" s="47">
        <v>0.2</v>
      </c>
      <c r="G30" s="55"/>
      <c r="H30" s="39"/>
      <c r="I30" s="52"/>
    </row>
    <row r="31" spans="1:9">
      <c r="A31" s="39"/>
      <c r="B31" s="39"/>
      <c r="C31" s="39"/>
      <c r="D31" s="51"/>
      <c r="E31" s="46" t="s">
        <v>23</v>
      </c>
      <c r="F31" s="47">
        <v>0.2</v>
      </c>
      <c r="G31" s="55"/>
      <c r="H31" s="39"/>
      <c r="I31" s="52"/>
    </row>
    <row r="32" spans="1:9">
      <c r="A32" s="43">
        <v>1.3</v>
      </c>
      <c r="B32" s="40" t="s">
        <v>40</v>
      </c>
      <c r="C32" s="43"/>
      <c r="D32" s="43"/>
      <c r="E32" s="43"/>
      <c r="F32" s="43"/>
      <c r="G32" s="43"/>
      <c r="H32" s="43"/>
      <c r="I32" s="44"/>
    </row>
    <row r="33" spans="1:9">
      <c r="A33" s="49" t="s">
        <v>41</v>
      </c>
      <c r="B33" s="39" t="s">
        <v>42</v>
      </c>
      <c r="C33" s="34">
        <v>45153</v>
      </c>
      <c r="D33" s="51">
        <v>1</v>
      </c>
      <c r="E33" s="46" t="s">
        <v>24</v>
      </c>
      <c r="F33" s="47">
        <v>0.2</v>
      </c>
      <c r="G33" s="35">
        <v>45153</v>
      </c>
      <c r="H33" s="34">
        <v>45153</v>
      </c>
      <c r="I33" s="48">
        <v>1</v>
      </c>
    </row>
    <row r="34" spans="1:9">
      <c r="A34" s="49"/>
      <c r="B34" s="39"/>
      <c r="C34" s="39"/>
      <c r="D34" s="51"/>
      <c r="E34" s="46" t="s">
        <v>4</v>
      </c>
      <c r="F34" s="47">
        <v>0.2</v>
      </c>
      <c r="G34" s="55"/>
      <c r="H34" s="39"/>
      <c r="I34" s="52"/>
    </row>
    <row r="35" spans="1:9">
      <c r="A35" s="49"/>
      <c r="B35" s="39"/>
      <c r="C35" s="39"/>
      <c r="D35" s="51"/>
      <c r="E35" s="39" t="s">
        <v>22</v>
      </c>
      <c r="F35" s="47">
        <v>0.2</v>
      </c>
      <c r="G35" s="55"/>
      <c r="H35" s="39"/>
      <c r="I35" s="52"/>
    </row>
    <row r="36" spans="1:9">
      <c r="A36" s="49"/>
      <c r="B36" s="39"/>
      <c r="C36" s="39"/>
      <c r="D36" s="51"/>
      <c r="E36" s="46" t="s">
        <v>23</v>
      </c>
      <c r="F36" s="47">
        <v>0.2</v>
      </c>
      <c r="G36" s="55"/>
      <c r="H36" s="39"/>
      <c r="I36" s="52"/>
    </row>
    <row r="37" spans="1:9">
      <c r="A37" s="49" t="s">
        <v>43</v>
      </c>
      <c r="B37" s="39" t="s">
        <v>44</v>
      </c>
      <c r="C37" s="34">
        <v>45154</v>
      </c>
      <c r="D37" s="51">
        <v>1</v>
      </c>
      <c r="E37" s="46" t="s">
        <v>24</v>
      </c>
      <c r="F37" s="47">
        <v>0.2</v>
      </c>
      <c r="G37" s="35">
        <v>45154</v>
      </c>
      <c r="H37" s="34">
        <v>45154</v>
      </c>
      <c r="I37" s="48">
        <v>1</v>
      </c>
    </row>
    <row r="38" spans="1:9">
      <c r="A38" s="49"/>
      <c r="B38" s="39"/>
      <c r="C38" s="39"/>
      <c r="D38" s="51"/>
      <c r="E38" s="46" t="s">
        <v>4</v>
      </c>
      <c r="F38" s="47">
        <v>0.2</v>
      </c>
      <c r="G38" s="55"/>
      <c r="H38" s="39"/>
      <c r="I38" s="52"/>
    </row>
    <row r="39" spans="1:9">
      <c r="A39" s="49"/>
      <c r="B39" s="39"/>
      <c r="C39" s="39"/>
      <c r="D39" s="51"/>
      <c r="E39" s="39" t="s">
        <v>22</v>
      </c>
      <c r="F39" s="47">
        <v>0.2</v>
      </c>
      <c r="G39" s="55"/>
      <c r="H39" s="39"/>
      <c r="I39" s="52"/>
    </row>
    <row r="40" spans="1:9">
      <c r="A40" s="49"/>
      <c r="B40" s="39"/>
      <c r="C40" s="39"/>
      <c r="D40" s="51"/>
      <c r="E40" s="46" t="s">
        <v>23</v>
      </c>
      <c r="F40" s="47">
        <v>0.2</v>
      </c>
      <c r="G40" s="55"/>
      <c r="H40" s="39"/>
      <c r="I40" s="52"/>
    </row>
    <row r="41" spans="1:9">
      <c r="A41" s="49" t="s">
        <v>45</v>
      </c>
      <c r="B41" s="39" t="s">
        <v>46</v>
      </c>
      <c r="C41" s="34">
        <v>45155</v>
      </c>
      <c r="D41" s="51">
        <v>1</v>
      </c>
      <c r="E41" s="46" t="s">
        <v>4</v>
      </c>
      <c r="F41" s="47">
        <v>1</v>
      </c>
      <c r="G41" s="35">
        <v>45155</v>
      </c>
      <c r="H41" s="34">
        <v>45155</v>
      </c>
      <c r="I41" s="48">
        <v>1</v>
      </c>
    </row>
    <row r="42" spans="1:9">
      <c r="A42" s="49" t="s">
        <v>47</v>
      </c>
      <c r="B42" s="39" t="s">
        <v>48</v>
      </c>
      <c r="C42" s="34">
        <v>45155</v>
      </c>
      <c r="D42" s="51">
        <v>2</v>
      </c>
      <c r="E42" s="46" t="s">
        <v>4</v>
      </c>
      <c r="F42" s="47">
        <v>1</v>
      </c>
      <c r="G42" s="35">
        <v>45155</v>
      </c>
      <c r="H42" s="34">
        <v>45155</v>
      </c>
      <c r="I42" s="48">
        <v>1</v>
      </c>
    </row>
    <row r="43" spans="1:9">
      <c r="A43" s="49" t="s">
        <v>49</v>
      </c>
      <c r="B43" s="39" t="s">
        <v>50</v>
      </c>
      <c r="C43" s="34">
        <v>45156</v>
      </c>
      <c r="D43" s="51">
        <v>3</v>
      </c>
      <c r="E43" s="46" t="s">
        <v>24</v>
      </c>
      <c r="F43" s="47">
        <v>0.2</v>
      </c>
      <c r="G43" s="35">
        <v>45156</v>
      </c>
      <c r="H43" s="34">
        <v>45156</v>
      </c>
      <c r="I43" s="48">
        <v>1</v>
      </c>
    </row>
    <row r="44" spans="1:9">
      <c r="A44" s="49"/>
      <c r="B44" s="39"/>
      <c r="C44" s="39"/>
      <c r="D44" s="51"/>
      <c r="E44" s="46" t="s">
        <v>4</v>
      </c>
      <c r="F44" s="47">
        <v>0.2</v>
      </c>
      <c r="G44" s="55"/>
      <c r="H44" s="39"/>
      <c r="I44" s="52"/>
    </row>
    <row r="45" spans="1:9">
      <c r="A45" s="49"/>
      <c r="B45" s="39"/>
      <c r="C45" s="39"/>
      <c r="D45" s="51"/>
      <c r="E45" s="39" t="s">
        <v>22</v>
      </c>
      <c r="F45" s="47">
        <v>0.2</v>
      </c>
      <c r="G45" s="55"/>
      <c r="H45" s="39"/>
      <c r="I45" s="52"/>
    </row>
    <row r="46" spans="1:9">
      <c r="A46" s="49"/>
      <c r="B46" s="39"/>
      <c r="C46" s="39"/>
      <c r="D46" s="51"/>
      <c r="E46" s="46" t="s">
        <v>23</v>
      </c>
      <c r="F46" s="47">
        <v>0.2</v>
      </c>
      <c r="G46" s="55"/>
      <c r="H46" s="39"/>
      <c r="I46" s="52"/>
    </row>
    <row r="47" spans="1:9">
      <c r="A47" s="49" t="s">
        <v>51</v>
      </c>
      <c r="B47" s="39" t="s">
        <v>52</v>
      </c>
      <c r="C47" s="34">
        <v>45157</v>
      </c>
      <c r="D47" s="51">
        <v>1</v>
      </c>
      <c r="E47" s="46" t="s">
        <v>4</v>
      </c>
      <c r="F47" s="47">
        <v>1</v>
      </c>
      <c r="G47" s="35">
        <v>45158</v>
      </c>
      <c r="H47" s="34">
        <v>45158</v>
      </c>
      <c r="I47" s="48">
        <v>1</v>
      </c>
    </row>
    <row r="48" spans="1:9">
      <c r="A48" s="49" t="s">
        <v>53</v>
      </c>
      <c r="B48" s="39" t="s">
        <v>54</v>
      </c>
      <c r="C48" s="34">
        <v>45158</v>
      </c>
      <c r="D48" s="51">
        <v>2</v>
      </c>
      <c r="E48" s="46" t="s">
        <v>24</v>
      </c>
      <c r="F48" s="47">
        <v>0.2</v>
      </c>
      <c r="G48" s="35">
        <v>45158</v>
      </c>
      <c r="H48" s="34">
        <v>45158</v>
      </c>
      <c r="I48" s="48">
        <v>1</v>
      </c>
    </row>
    <row r="49" spans="1:9">
      <c r="A49" s="49"/>
      <c r="B49" s="39"/>
      <c r="C49" s="39"/>
      <c r="D49" s="51"/>
      <c r="E49" s="46" t="s">
        <v>4</v>
      </c>
      <c r="F49" s="47">
        <v>0.2</v>
      </c>
      <c r="G49" s="55"/>
      <c r="H49" s="39"/>
      <c r="I49" s="52"/>
    </row>
    <row r="50" spans="1:9">
      <c r="A50" s="49"/>
      <c r="B50" s="39"/>
      <c r="C50" s="39"/>
      <c r="D50" s="51"/>
      <c r="E50" s="39" t="s">
        <v>22</v>
      </c>
      <c r="F50" s="47">
        <v>0.2</v>
      </c>
      <c r="G50" s="55"/>
      <c r="H50" s="39"/>
      <c r="I50" s="52"/>
    </row>
    <row r="51" spans="1:9">
      <c r="A51" s="49"/>
      <c r="B51" s="39"/>
      <c r="C51" s="39"/>
      <c r="D51" s="51"/>
      <c r="E51" s="46" t="s">
        <v>23</v>
      </c>
      <c r="F51" s="47">
        <v>0.2</v>
      </c>
      <c r="G51" s="55"/>
      <c r="H51" s="39"/>
      <c r="I51" s="52"/>
    </row>
    <row r="52" spans="1:9">
      <c r="A52" s="40">
        <v>1.4</v>
      </c>
      <c r="B52" s="40" t="s">
        <v>55</v>
      </c>
      <c r="C52" s="43"/>
      <c r="D52" s="43"/>
      <c r="E52" s="43"/>
      <c r="F52" s="43"/>
      <c r="G52" s="43"/>
      <c r="H52" s="43"/>
      <c r="I52" s="44"/>
    </row>
    <row r="53" spans="1:9">
      <c r="A53" s="49" t="s">
        <v>56</v>
      </c>
      <c r="B53" s="39" t="s">
        <v>57</v>
      </c>
      <c r="C53" s="34">
        <v>45160</v>
      </c>
      <c r="D53" s="51">
        <v>1</v>
      </c>
      <c r="E53" s="46" t="s">
        <v>4</v>
      </c>
      <c r="F53" s="47">
        <v>1</v>
      </c>
      <c r="G53" s="35">
        <v>45160</v>
      </c>
      <c r="H53" s="34">
        <v>45160</v>
      </c>
      <c r="I53" s="48">
        <v>1</v>
      </c>
    </row>
    <row r="54" spans="1:9">
      <c r="A54" s="49" t="s">
        <v>58</v>
      </c>
      <c r="B54" s="39" t="s">
        <v>59</v>
      </c>
      <c r="C54" s="34">
        <v>45161</v>
      </c>
      <c r="D54" s="51">
        <v>3</v>
      </c>
      <c r="E54" s="46" t="s">
        <v>4</v>
      </c>
      <c r="F54" s="47">
        <v>1</v>
      </c>
      <c r="G54" s="35">
        <v>45161</v>
      </c>
      <c r="H54" s="34">
        <v>45161</v>
      </c>
      <c r="I54" s="48">
        <v>1</v>
      </c>
    </row>
    <row r="55" spans="1:9">
      <c r="A55" s="49" t="s">
        <v>60</v>
      </c>
      <c r="B55" s="39" t="s">
        <v>61</v>
      </c>
      <c r="C55" s="34">
        <v>45162</v>
      </c>
      <c r="D55" s="51">
        <v>1</v>
      </c>
      <c r="E55" s="46" t="s">
        <v>4</v>
      </c>
      <c r="F55" s="47">
        <v>1</v>
      </c>
      <c r="G55" s="51"/>
      <c r="H55" s="39"/>
      <c r="I55" s="54">
        <v>1</v>
      </c>
    </row>
    <row r="56" spans="1:9">
      <c r="A56" s="49" t="s">
        <v>62</v>
      </c>
      <c r="B56" s="39" t="s">
        <v>63</v>
      </c>
      <c r="C56" s="34">
        <v>45163</v>
      </c>
      <c r="D56" s="51">
        <v>5</v>
      </c>
      <c r="E56" s="46" t="s">
        <v>4</v>
      </c>
      <c r="F56" s="47">
        <v>1</v>
      </c>
      <c r="G56" s="51"/>
      <c r="H56" s="39"/>
      <c r="I56" s="58">
        <v>1</v>
      </c>
    </row>
    <row r="57" spans="1:9">
      <c r="A57" s="40">
        <v>1.5</v>
      </c>
      <c r="B57" s="40" t="s">
        <v>64</v>
      </c>
      <c r="C57" s="43"/>
      <c r="D57" s="43"/>
      <c r="E57" s="43"/>
      <c r="F57" s="43"/>
      <c r="G57" s="44"/>
      <c r="H57" s="43"/>
      <c r="I57" s="44"/>
    </row>
    <row r="58" spans="1:9">
      <c r="A58" s="39" t="s">
        <v>65</v>
      </c>
      <c r="B58" s="39" t="s">
        <v>66</v>
      </c>
      <c r="C58" s="34">
        <v>45167</v>
      </c>
      <c r="D58" s="51">
        <v>1</v>
      </c>
      <c r="E58" s="46" t="s">
        <v>24</v>
      </c>
      <c r="F58" s="47">
        <v>0.2</v>
      </c>
      <c r="G58" s="38">
        <v>45217</v>
      </c>
      <c r="H58" s="59">
        <v>45209</v>
      </c>
      <c r="I58" s="54">
        <v>1</v>
      </c>
    </row>
    <row r="59" spans="1:9">
      <c r="A59" s="39"/>
      <c r="B59" s="39"/>
      <c r="C59" s="39"/>
      <c r="D59" s="51"/>
      <c r="E59" s="46" t="s">
        <v>4</v>
      </c>
      <c r="F59" s="47">
        <v>0.2</v>
      </c>
      <c r="G59" s="51"/>
      <c r="H59" s="39"/>
      <c r="I59" s="52"/>
    </row>
    <row r="60" spans="1:9">
      <c r="A60" s="39"/>
      <c r="B60" s="39"/>
      <c r="C60" s="39"/>
      <c r="D60" s="51"/>
      <c r="E60" s="39" t="s">
        <v>22</v>
      </c>
      <c r="F60" s="47">
        <v>0.2</v>
      </c>
      <c r="G60" s="51"/>
      <c r="H60" s="39"/>
      <c r="I60" s="52"/>
    </row>
    <row r="61" spans="1:9">
      <c r="A61" s="39"/>
      <c r="B61" s="39"/>
      <c r="C61" s="39"/>
      <c r="D61" s="51"/>
      <c r="E61" s="46" t="s">
        <v>23</v>
      </c>
      <c r="F61" s="47">
        <v>0.2</v>
      </c>
      <c r="G61" s="51"/>
      <c r="H61" s="39"/>
      <c r="I61" s="52"/>
    </row>
    <row r="62" spans="1:9">
      <c r="A62" s="39" t="s">
        <v>67</v>
      </c>
      <c r="B62" s="39" t="s">
        <v>68</v>
      </c>
      <c r="C62" s="59">
        <v>45168</v>
      </c>
      <c r="D62" s="51">
        <v>3</v>
      </c>
      <c r="E62" s="46" t="s">
        <v>4</v>
      </c>
      <c r="F62" s="47">
        <v>1</v>
      </c>
      <c r="G62" s="38">
        <v>45217</v>
      </c>
      <c r="H62" s="59">
        <v>45219</v>
      </c>
      <c r="I62" s="54">
        <v>1</v>
      </c>
    </row>
    <row r="63" spans="1:9">
      <c r="A63" s="39" t="s">
        <v>69</v>
      </c>
      <c r="B63" s="39" t="s">
        <v>70</v>
      </c>
      <c r="C63" s="59">
        <v>45170</v>
      </c>
      <c r="D63" s="51">
        <v>7</v>
      </c>
      <c r="E63" s="46" t="s">
        <v>24</v>
      </c>
      <c r="F63" s="47">
        <v>0.2</v>
      </c>
      <c r="G63" s="38">
        <v>45217</v>
      </c>
      <c r="H63" s="59">
        <v>45218</v>
      </c>
      <c r="I63" s="58">
        <v>1</v>
      </c>
    </row>
    <row r="64" spans="1:9">
      <c r="A64" s="39"/>
      <c r="B64" s="39"/>
      <c r="C64" s="39"/>
      <c r="D64" s="51"/>
      <c r="E64" s="46" t="s">
        <v>4</v>
      </c>
      <c r="F64" s="47">
        <v>0.2</v>
      </c>
      <c r="G64" s="51"/>
      <c r="H64" s="39"/>
      <c r="I64" s="52"/>
    </row>
    <row r="65" spans="1:9">
      <c r="A65" s="39"/>
      <c r="B65" s="39"/>
      <c r="C65" s="39"/>
      <c r="D65" s="51"/>
      <c r="E65" s="39" t="s">
        <v>22</v>
      </c>
      <c r="F65" s="47">
        <v>0.2</v>
      </c>
      <c r="G65" s="51"/>
      <c r="H65" s="39"/>
      <c r="I65" s="52"/>
    </row>
    <row r="66" spans="1:9">
      <c r="A66" s="39"/>
      <c r="B66" s="39"/>
      <c r="C66" s="39"/>
      <c r="D66" s="51"/>
      <c r="E66" s="46" t="s">
        <v>23</v>
      </c>
      <c r="F66" s="47">
        <v>0.2</v>
      </c>
      <c r="G66" s="51"/>
      <c r="H66" s="39"/>
      <c r="I66" s="52"/>
    </row>
    <row r="67" spans="1:9">
      <c r="A67" s="39" t="s">
        <v>71</v>
      </c>
      <c r="B67" s="39" t="s">
        <v>72</v>
      </c>
      <c r="C67" s="59">
        <v>45173</v>
      </c>
      <c r="D67" s="51">
        <v>10</v>
      </c>
      <c r="E67" s="46" t="s">
        <v>24</v>
      </c>
      <c r="F67" s="47">
        <v>0.2</v>
      </c>
      <c r="G67" s="38">
        <v>45217</v>
      </c>
      <c r="H67" s="59">
        <v>45220</v>
      </c>
      <c r="I67" s="54">
        <v>1</v>
      </c>
    </row>
    <row r="68" spans="1:9">
      <c r="A68" s="39"/>
      <c r="B68" s="39"/>
      <c r="C68" s="39"/>
      <c r="D68" s="51"/>
      <c r="E68" s="46" t="s">
        <v>4</v>
      </c>
      <c r="F68" s="47">
        <v>0.2</v>
      </c>
      <c r="G68" s="55"/>
      <c r="H68" s="39"/>
      <c r="I68" s="52"/>
    </row>
    <row r="69" spans="1:9">
      <c r="A69" s="39"/>
      <c r="B69" s="39"/>
      <c r="C69" s="39"/>
      <c r="D69" s="51"/>
      <c r="E69" s="39" t="s">
        <v>22</v>
      </c>
      <c r="F69" s="47">
        <v>0.2</v>
      </c>
      <c r="G69" s="55"/>
      <c r="H69" s="39"/>
      <c r="I69" s="52"/>
    </row>
    <row r="70" spans="1:9">
      <c r="A70" s="39"/>
      <c r="B70" s="39"/>
      <c r="C70" s="39"/>
      <c r="D70" s="51"/>
      <c r="E70" s="46" t="s">
        <v>23</v>
      </c>
      <c r="F70" s="47">
        <v>0.2</v>
      </c>
      <c r="G70" s="55"/>
      <c r="H70" s="39"/>
      <c r="I70" s="5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</sheetData>
  <mergeCells count="2">
    <mergeCell ref="C4:I4"/>
    <mergeCell ref="C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sqref="A1:K34"/>
    </sheetView>
  </sheetViews>
  <sheetFormatPr defaultRowHeight="14.5"/>
  <cols>
    <col min="1" max="1" width="29.7265625" customWidth="1"/>
    <col min="2" max="10" width="11.6328125" customWidth="1"/>
    <col min="11" max="11" width="12.6328125" customWidth="1"/>
  </cols>
  <sheetData>
    <row r="1" spans="1:11" ht="25">
      <c r="A1" s="30" t="s">
        <v>73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25" customHeight="1">
      <c r="A2" s="4" t="s">
        <v>74</v>
      </c>
      <c r="B2" s="4" t="s">
        <v>74</v>
      </c>
      <c r="C2" s="27" t="s">
        <v>75</v>
      </c>
      <c r="D2" s="28"/>
      <c r="E2" s="28"/>
      <c r="F2" s="28"/>
      <c r="G2" s="28"/>
      <c r="H2" s="28"/>
      <c r="I2" s="28"/>
      <c r="J2" s="28"/>
      <c r="K2" s="29"/>
    </row>
    <row r="3" spans="1:11" ht="15.5">
      <c r="A3" s="4" t="s">
        <v>74</v>
      </c>
      <c r="B3" s="4" t="s">
        <v>74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 t="s">
        <v>74</v>
      </c>
    </row>
    <row r="4" spans="1:11" ht="18">
      <c r="A4" s="31" t="s">
        <v>76</v>
      </c>
      <c r="B4" s="32"/>
      <c r="C4" s="32"/>
      <c r="D4" s="32"/>
      <c r="E4" s="32"/>
      <c r="F4" s="32"/>
      <c r="G4" s="32"/>
      <c r="H4" s="32"/>
      <c r="I4" s="32"/>
      <c r="J4" s="32"/>
      <c r="K4" s="33"/>
    </row>
    <row r="5" spans="1:11" ht="15.5">
      <c r="A5" s="4" t="s">
        <v>77</v>
      </c>
      <c r="B5" s="4" t="s">
        <v>74</v>
      </c>
      <c r="C5" s="5">
        <v>500000</v>
      </c>
      <c r="D5" s="5">
        <v>540000</v>
      </c>
      <c r="E5" s="5">
        <v>580000</v>
      </c>
      <c r="F5" s="5">
        <v>610000</v>
      </c>
      <c r="G5" s="5">
        <v>650000</v>
      </c>
      <c r="H5" s="5">
        <v>690000</v>
      </c>
      <c r="I5" s="5">
        <v>730000</v>
      </c>
      <c r="J5" s="5">
        <v>770000</v>
      </c>
      <c r="K5" s="5">
        <f>C5+D5+E5+F5+G5+H5+I5+J5</f>
        <v>5070000</v>
      </c>
    </row>
    <row r="6" spans="1:11" ht="15.5">
      <c r="A6" s="4" t="s">
        <v>78</v>
      </c>
      <c r="B6" s="4" t="s">
        <v>74</v>
      </c>
      <c r="C6" s="5">
        <v>18000</v>
      </c>
      <c r="D6" s="5">
        <v>18000</v>
      </c>
      <c r="E6" s="5">
        <v>18000</v>
      </c>
      <c r="F6" s="5">
        <v>18000</v>
      </c>
      <c r="G6" s="5">
        <v>18000</v>
      </c>
      <c r="H6" s="5">
        <v>18000</v>
      </c>
      <c r="I6" s="5">
        <v>18000</v>
      </c>
      <c r="J6" s="5">
        <v>18000</v>
      </c>
      <c r="K6" s="5">
        <f>C6+D6+E6+F6+G6+H6+I6+J6</f>
        <v>144000</v>
      </c>
    </row>
    <row r="7" spans="1:11" ht="15.5">
      <c r="A7" s="4" t="s">
        <v>79</v>
      </c>
      <c r="B7" s="4" t="s">
        <v>74</v>
      </c>
      <c r="C7" s="5">
        <v>10000</v>
      </c>
      <c r="D7" s="5">
        <v>10000</v>
      </c>
      <c r="E7" s="5">
        <v>12000</v>
      </c>
      <c r="F7" s="5">
        <v>10000</v>
      </c>
      <c r="G7" s="5">
        <v>10000</v>
      </c>
      <c r="H7" s="5">
        <v>12000</v>
      </c>
      <c r="I7" s="5">
        <v>10000</v>
      </c>
      <c r="J7" s="5">
        <v>10000</v>
      </c>
      <c r="K7" s="5">
        <f>C7+D7+E7+F7+G7+H7+I7+J7</f>
        <v>84000</v>
      </c>
    </row>
    <row r="8" spans="1:11" ht="15.5">
      <c r="A8" s="4" t="s">
        <v>80</v>
      </c>
      <c r="B8" s="4" t="s">
        <v>74</v>
      </c>
      <c r="C8" s="5">
        <v>5000</v>
      </c>
      <c r="D8" s="5">
        <v>5000</v>
      </c>
      <c r="E8" s="5">
        <v>7000</v>
      </c>
      <c r="F8" s="5">
        <v>5000</v>
      </c>
      <c r="G8" s="5">
        <v>5000</v>
      </c>
      <c r="H8" s="5">
        <v>7000</v>
      </c>
      <c r="I8" s="5">
        <v>5000</v>
      </c>
      <c r="J8" s="5">
        <v>5000</v>
      </c>
      <c r="K8" s="5">
        <f>C8+D8+E8+F8+G8+H8+I8+J8</f>
        <v>44000</v>
      </c>
    </row>
    <row r="9" spans="1:11" ht="15.5">
      <c r="A9" s="6" t="s">
        <v>81</v>
      </c>
      <c r="B9" s="4" t="s">
        <v>74</v>
      </c>
      <c r="C9" s="5">
        <f>C5+C6+C7+C8</f>
        <v>533000</v>
      </c>
      <c r="D9" s="5">
        <f>D5+D6+D7+D8</f>
        <v>573000</v>
      </c>
      <c r="E9" s="5">
        <f>E5+E6+E7+E8</f>
        <v>617000</v>
      </c>
      <c r="F9" s="5">
        <f>F5+F6+F7+F8</f>
        <v>643000</v>
      </c>
      <c r="G9" s="5">
        <v>683000</v>
      </c>
      <c r="H9" s="5">
        <f>H5+H6+H7+H8</f>
        <v>727000</v>
      </c>
      <c r="I9" s="5">
        <f>I5+I6+I7+I8</f>
        <v>763000</v>
      </c>
      <c r="J9" s="5">
        <f>J5+J6+J7+J8</f>
        <v>803000</v>
      </c>
      <c r="K9" s="5">
        <f>C9+D9+E9+F9+G9+H9+I9+J9</f>
        <v>5342000</v>
      </c>
    </row>
    <row r="10" spans="1:11" ht="18">
      <c r="A10" s="31" t="s">
        <v>82</v>
      </c>
      <c r="B10" s="32"/>
      <c r="C10" s="32"/>
      <c r="D10" s="32"/>
      <c r="E10" s="32"/>
      <c r="F10" s="32"/>
      <c r="G10" s="32"/>
      <c r="H10" s="32"/>
      <c r="I10" s="32"/>
      <c r="J10" s="32"/>
      <c r="K10" s="33"/>
    </row>
    <row r="11" spans="1:11" ht="15.5">
      <c r="A11" s="4" t="s">
        <v>83</v>
      </c>
      <c r="B11" s="4" t="s">
        <v>74</v>
      </c>
      <c r="C11" s="5">
        <v>18000</v>
      </c>
      <c r="D11" s="5">
        <v>18000</v>
      </c>
      <c r="E11" s="5">
        <v>18000</v>
      </c>
      <c r="F11" s="5">
        <v>18000</v>
      </c>
      <c r="G11" s="5">
        <v>18000</v>
      </c>
      <c r="H11" s="5">
        <v>18000</v>
      </c>
      <c r="I11" s="5">
        <v>18000</v>
      </c>
      <c r="J11" s="5">
        <v>18000</v>
      </c>
      <c r="K11" s="5">
        <f>C11+D11+E11+F11+G11+H11+I11+J11</f>
        <v>144000</v>
      </c>
    </row>
    <row r="12" spans="1:11" ht="15.5">
      <c r="A12" s="4" t="s">
        <v>84</v>
      </c>
      <c r="B12" s="4" t="s">
        <v>74</v>
      </c>
      <c r="C12" s="7">
        <v>32789.040000000001</v>
      </c>
      <c r="D12" s="7">
        <v>32789.040000000001</v>
      </c>
      <c r="E12" s="7">
        <v>32789.040000000001</v>
      </c>
      <c r="F12" s="7">
        <v>32789.040000000001</v>
      </c>
      <c r="G12" s="7">
        <v>32789.040000000001</v>
      </c>
      <c r="H12" s="7">
        <v>32789.040000000001</v>
      </c>
      <c r="I12" s="7">
        <v>32789.040000000001</v>
      </c>
      <c r="J12" s="7">
        <v>32789.040000000001</v>
      </c>
      <c r="K12" s="7">
        <f>C12+D12+E12+F12+G12+H12+I12+J12</f>
        <v>262312.32000000001</v>
      </c>
    </row>
    <row r="13" spans="1:11" ht="15.5">
      <c r="A13" s="4" t="s">
        <v>85</v>
      </c>
      <c r="B13" s="4" t="s">
        <v>74</v>
      </c>
      <c r="C13" s="5">
        <v>142000</v>
      </c>
      <c r="D13" s="5">
        <v>142000</v>
      </c>
      <c r="E13" s="5">
        <v>147000</v>
      </c>
      <c r="F13" s="5">
        <v>142000</v>
      </c>
      <c r="G13" s="5">
        <v>142000</v>
      </c>
      <c r="H13" s="5">
        <v>147000</v>
      </c>
      <c r="I13" s="5">
        <v>142000</v>
      </c>
      <c r="J13" s="5">
        <v>142000</v>
      </c>
      <c r="K13" s="5">
        <f>C13+D13+E13+F13+G13+H13+I13+J13</f>
        <v>1146000</v>
      </c>
    </row>
    <row r="14" spans="1:11" ht="15.5">
      <c r="A14" s="6" t="s">
        <v>86</v>
      </c>
      <c r="B14" s="4" t="s">
        <v>74</v>
      </c>
      <c r="C14" s="7">
        <f>C11+C12+C13</f>
        <v>192789.04</v>
      </c>
      <c r="D14" s="7">
        <f>D11+D12+D13</f>
        <v>192789.04</v>
      </c>
      <c r="E14" s="7">
        <f>E11+E12+E13</f>
        <v>197789.04</v>
      </c>
      <c r="F14" s="7">
        <v>192789.04</v>
      </c>
      <c r="G14" s="7">
        <f>D11+D12+D13</f>
        <v>192789.04</v>
      </c>
      <c r="H14" s="7">
        <f>E11+E12+E13</f>
        <v>197789.04</v>
      </c>
      <c r="I14" s="7">
        <v>192789.04</v>
      </c>
      <c r="J14" s="7">
        <v>192789.04</v>
      </c>
      <c r="K14" s="7">
        <f>C14+D14+E14+F14+G14+H14+I14+J14</f>
        <v>1552312.3200000001</v>
      </c>
    </row>
    <row r="15" spans="1:11" ht="18">
      <c r="A15" s="31" t="s">
        <v>87</v>
      </c>
      <c r="B15" s="32"/>
      <c r="C15" s="32"/>
      <c r="D15" s="32"/>
      <c r="E15" s="32"/>
      <c r="F15" s="32"/>
      <c r="G15" s="32"/>
      <c r="H15" s="32"/>
      <c r="I15" s="32"/>
      <c r="J15" s="32"/>
      <c r="K15" s="33"/>
    </row>
    <row r="16" spans="1:11" ht="15.5">
      <c r="A16" s="8" t="s">
        <v>88</v>
      </c>
      <c r="B16" s="8" t="s">
        <v>74</v>
      </c>
      <c r="C16" s="8" t="s">
        <v>74</v>
      </c>
      <c r="D16" s="8" t="s">
        <v>74</v>
      </c>
      <c r="E16" s="8" t="s">
        <v>74</v>
      </c>
      <c r="F16" s="8" t="s">
        <v>74</v>
      </c>
      <c r="G16" s="8" t="s">
        <v>74</v>
      </c>
      <c r="H16" s="8" t="s">
        <v>74</v>
      </c>
      <c r="I16" s="8" t="s">
        <v>74</v>
      </c>
      <c r="J16" s="8" t="s">
        <v>74</v>
      </c>
      <c r="K16" s="8" t="s">
        <v>74</v>
      </c>
    </row>
    <row r="17" spans="1:11" ht="15.5">
      <c r="A17" s="10" t="s">
        <v>89</v>
      </c>
      <c r="B17" s="11">
        <v>17600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11">
        <v>17600</v>
      </c>
    </row>
    <row r="18" spans="1:11" ht="15.5">
      <c r="A18" s="10" t="s">
        <v>90</v>
      </c>
      <c r="B18" s="11">
        <v>20790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11">
        <v>20790</v>
      </c>
    </row>
    <row r="19" spans="1:11" ht="15.5">
      <c r="A19" s="13" t="s">
        <v>91</v>
      </c>
      <c r="B19" s="14">
        <v>3600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4">
        <v>3600</v>
      </c>
    </row>
    <row r="20" spans="1:11" ht="15.5">
      <c r="A20" s="4" t="s">
        <v>92</v>
      </c>
      <c r="B20" s="4" t="s">
        <v>74</v>
      </c>
      <c r="C20" s="5">
        <v>160000</v>
      </c>
      <c r="D20" s="5">
        <v>160000</v>
      </c>
      <c r="E20" s="5">
        <v>165000</v>
      </c>
      <c r="F20" s="5">
        <v>160000</v>
      </c>
      <c r="G20" s="5">
        <v>160000</v>
      </c>
      <c r="H20" s="5">
        <v>165000</v>
      </c>
      <c r="I20" s="5">
        <v>160000</v>
      </c>
      <c r="J20" s="5">
        <v>160000</v>
      </c>
      <c r="K20" s="5">
        <f>C20+D20+E20+F20+G20+H20+I20+J20</f>
        <v>1290000</v>
      </c>
    </row>
    <row r="21" spans="1:11" ht="15.5">
      <c r="A21" s="4" t="s">
        <v>93</v>
      </c>
      <c r="B21" s="4" t="s">
        <v>74</v>
      </c>
      <c r="C21" s="5">
        <v>66972</v>
      </c>
      <c r="D21" s="5">
        <v>68972</v>
      </c>
      <c r="E21" s="5">
        <v>70972</v>
      </c>
      <c r="F21" s="5">
        <v>72972</v>
      </c>
      <c r="G21" s="5">
        <v>74972</v>
      </c>
      <c r="H21" s="5">
        <v>76972</v>
      </c>
      <c r="I21" s="5">
        <v>78972</v>
      </c>
      <c r="J21" s="5">
        <v>80972</v>
      </c>
      <c r="K21" s="5">
        <f>C21+D21+E21+F21+G21+H21+I21+J21</f>
        <v>591776</v>
      </c>
    </row>
    <row r="22" spans="1:11" ht="15.5">
      <c r="A22" s="6" t="s">
        <v>94</v>
      </c>
      <c r="B22" s="5">
        <v>41990</v>
      </c>
      <c r="C22" s="5">
        <f t="shared" ref="C22:J22" si="0">C20+C21</f>
        <v>226972</v>
      </c>
      <c r="D22" s="5">
        <f t="shared" si="0"/>
        <v>228972</v>
      </c>
      <c r="E22" s="5">
        <f t="shared" si="0"/>
        <v>235972</v>
      </c>
      <c r="F22" s="5">
        <f t="shared" si="0"/>
        <v>232972</v>
      </c>
      <c r="G22" s="5">
        <f t="shared" si="0"/>
        <v>234972</v>
      </c>
      <c r="H22" s="5">
        <f t="shared" si="0"/>
        <v>241972</v>
      </c>
      <c r="I22" s="5">
        <f t="shared" si="0"/>
        <v>238972</v>
      </c>
      <c r="J22" s="5">
        <f t="shared" si="0"/>
        <v>240972</v>
      </c>
      <c r="K22" s="5">
        <f>B22+C22+D22+E22+F22+G22+H22+I22+J22</f>
        <v>1923766</v>
      </c>
    </row>
    <row r="23" spans="1:11" ht="18">
      <c r="A23" s="31" t="s">
        <v>95</v>
      </c>
      <c r="B23" s="32"/>
      <c r="C23" s="32"/>
      <c r="D23" s="32"/>
      <c r="E23" s="32"/>
      <c r="F23" s="32"/>
      <c r="G23" s="32"/>
      <c r="H23" s="32"/>
      <c r="I23" s="32"/>
      <c r="J23" s="32"/>
      <c r="K23" s="33"/>
    </row>
    <row r="24" spans="1:11" ht="15.5">
      <c r="A24" s="8" t="s">
        <v>88</v>
      </c>
      <c r="B24" s="8" t="s">
        <v>74</v>
      </c>
      <c r="C24" s="8" t="s">
        <v>74</v>
      </c>
      <c r="D24" s="8" t="s">
        <v>74</v>
      </c>
      <c r="E24" s="8" t="s">
        <v>74</v>
      </c>
      <c r="F24" s="8" t="s">
        <v>74</v>
      </c>
      <c r="G24" s="8" t="s">
        <v>74</v>
      </c>
      <c r="H24" s="8" t="s">
        <v>74</v>
      </c>
      <c r="I24" s="8" t="s">
        <v>74</v>
      </c>
      <c r="J24" s="8" t="s">
        <v>74</v>
      </c>
      <c r="K24" s="8" t="s">
        <v>74</v>
      </c>
    </row>
    <row r="25" spans="1:11" ht="15.5">
      <c r="A25" s="13" t="s">
        <v>90</v>
      </c>
      <c r="B25" s="14">
        <v>20790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4">
        <v>20790</v>
      </c>
    </row>
    <row r="26" spans="1:11" ht="15.5">
      <c r="A26" s="4" t="s">
        <v>96</v>
      </c>
      <c r="B26" s="4" t="s">
        <v>74</v>
      </c>
      <c r="C26" s="5">
        <v>13143</v>
      </c>
      <c r="D26" s="5">
        <v>13143</v>
      </c>
      <c r="E26" s="5">
        <v>13143</v>
      </c>
      <c r="F26" s="5">
        <v>13143</v>
      </c>
      <c r="G26" s="5">
        <v>13143</v>
      </c>
      <c r="H26" s="5">
        <v>13143</v>
      </c>
      <c r="I26" s="5">
        <v>13143</v>
      </c>
      <c r="J26" s="5">
        <v>13143</v>
      </c>
      <c r="K26" s="5">
        <f>C26+D26+E26+F26+G26+H26+I26+J26</f>
        <v>105144</v>
      </c>
    </row>
    <row r="27" spans="1:11" ht="15.5">
      <c r="A27" s="4" t="s">
        <v>97</v>
      </c>
      <c r="B27" s="4" t="s">
        <v>74</v>
      </c>
      <c r="C27" s="5">
        <v>2990</v>
      </c>
      <c r="D27" s="5">
        <v>2990</v>
      </c>
      <c r="E27" s="5">
        <v>2990</v>
      </c>
      <c r="F27" s="5">
        <v>2990</v>
      </c>
      <c r="G27" s="5">
        <v>2990</v>
      </c>
      <c r="H27" s="5">
        <v>2990</v>
      </c>
      <c r="I27" s="5">
        <v>2990</v>
      </c>
      <c r="J27" s="5">
        <v>2990</v>
      </c>
      <c r="K27" s="5">
        <f>C27+D27+E27+F27+G27+H27+I27+J27</f>
        <v>23920</v>
      </c>
    </row>
    <row r="28" spans="1:11" ht="15.5">
      <c r="A28" s="4" t="s">
        <v>98</v>
      </c>
      <c r="B28" s="4" t="s">
        <v>74</v>
      </c>
      <c r="C28" s="5">
        <v>180000</v>
      </c>
      <c r="D28" s="5">
        <v>180000</v>
      </c>
      <c r="E28" s="5">
        <v>185000</v>
      </c>
      <c r="F28" s="5">
        <v>180000</v>
      </c>
      <c r="G28" s="5">
        <v>180000</v>
      </c>
      <c r="H28" s="5">
        <v>185000</v>
      </c>
      <c r="I28" s="5">
        <v>180000</v>
      </c>
      <c r="J28" s="5">
        <v>180000</v>
      </c>
      <c r="K28" s="5">
        <f>C28+D28+E28+F28+G28+H28+I28+J28</f>
        <v>1450000</v>
      </c>
    </row>
    <row r="29" spans="1:11" ht="15.5">
      <c r="A29" s="6" t="s">
        <v>99</v>
      </c>
      <c r="B29" s="5">
        <v>20790</v>
      </c>
      <c r="C29" s="5">
        <f>C26+C27+C28</f>
        <v>196133</v>
      </c>
      <c r="D29" s="5">
        <f>D28+D27+D26</f>
        <v>196133</v>
      </c>
      <c r="E29" s="5">
        <f t="shared" ref="E29:J29" si="1">E26+E27+E28</f>
        <v>201133</v>
      </c>
      <c r="F29" s="5">
        <f t="shared" si="1"/>
        <v>196133</v>
      </c>
      <c r="G29" s="5">
        <f t="shared" si="1"/>
        <v>196133</v>
      </c>
      <c r="H29" s="5">
        <f t="shared" si="1"/>
        <v>201133</v>
      </c>
      <c r="I29" s="5">
        <f t="shared" si="1"/>
        <v>196133</v>
      </c>
      <c r="J29" s="5">
        <f t="shared" si="1"/>
        <v>196133</v>
      </c>
      <c r="K29" s="5">
        <f>B29+C29+D29+E29+F29+G29+H29+I29+J29</f>
        <v>1599854</v>
      </c>
    </row>
    <row r="30" spans="1:11" ht="15.5">
      <c r="A30" s="6" t="s">
        <v>100</v>
      </c>
      <c r="B30" s="5">
        <f>B22+B29</f>
        <v>62780</v>
      </c>
      <c r="C30" s="7">
        <f>C14+C22+C29</f>
        <v>615894.04</v>
      </c>
      <c r="D30" s="7">
        <f>D29+D22+D14</f>
        <v>617894.04</v>
      </c>
      <c r="E30" s="7">
        <f>E14+E22+E29</f>
        <v>634894.04</v>
      </c>
      <c r="F30" s="7">
        <f>F29+F22+F14</f>
        <v>621894.04</v>
      </c>
      <c r="G30" s="7">
        <f>G29+G22+G14</f>
        <v>623894.04</v>
      </c>
      <c r="H30" s="7">
        <f>H29+H22+H14</f>
        <v>640894.04</v>
      </c>
      <c r="I30" s="7">
        <f>I29+I22+I14</f>
        <v>627894.04</v>
      </c>
      <c r="J30" s="7">
        <f>J29+J22+J14</f>
        <v>629894.04</v>
      </c>
      <c r="K30" s="7">
        <f>B30+C30+D30+E30+F30+G30+H30+I30+J30</f>
        <v>5075932.32</v>
      </c>
    </row>
    <row r="31" spans="1:11" ht="15.5">
      <c r="A31" s="6" t="s">
        <v>101</v>
      </c>
      <c r="B31" s="5">
        <v>-62780</v>
      </c>
      <c r="C31" s="7">
        <f t="shared" ref="C31:J31" si="2">C9-C30</f>
        <v>-82894.040000000037</v>
      </c>
      <c r="D31" s="7">
        <f t="shared" si="2"/>
        <v>-44894.040000000037</v>
      </c>
      <c r="E31" s="7">
        <f t="shared" si="2"/>
        <v>-17894.040000000037</v>
      </c>
      <c r="F31" s="7">
        <f t="shared" si="2"/>
        <v>21105.959999999963</v>
      </c>
      <c r="G31" s="7">
        <f t="shared" si="2"/>
        <v>59105.959999999963</v>
      </c>
      <c r="H31" s="7">
        <f t="shared" si="2"/>
        <v>86105.959999999963</v>
      </c>
      <c r="I31" s="7">
        <f t="shared" si="2"/>
        <v>135105.95999999996</v>
      </c>
      <c r="J31" s="7">
        <f t="shared" si="2"/>
        <v>173105.95999999996</v>
      </c>
      <c r="K31" s="17">
        <f>I32</f>
        <v>92961.719999999739</v>
      </c>
    </row>
    <row r="32" spans="1:11" ht="15.5">
      <c r="A32" s="6" t="s">
        <v>102</v>
      </c>
      <c r="B32" s="16">
        <v>-62780</v>
      </c>
      <c r="C32" s="17">
        <f>B32+C31</f>
        <v>-145674.04000000004</v>
      </c>
      <c r="D32" s="17">
        <f t="shared" ref="D32:J32" si="3">C32+D31</f>
        <v>-190568.08000000007</v>
      </c>
      <c r="E32" s="17">
        <f t="shared" si="3"/>
        <v>-208462.12000000011</v>
      </c>
      <c r="F32" s="17">
        <f t="shared" si="3"/>
        <v>-187356.16000000015</v>
      </c>
      <c r="G32" s="17">
        <f t="shared" si="3"/>
        <v>-128250.20000000019</v>
      </c>
      <c r="H32" s="17">
        <f t="shared" si="3"/>
        <v>-42144.240000000224</v>
      </c>
      <c r="I32" s="17">
        <f t="shared" si="3"/>
        <v>92961.719999999739</v>
      </c>
      <c r="J32" s="17">
        <f t="shared" si="3"/>
        <v>266067.6799999997</v>
      </c>
      <c r="K32" s="8" t="s">
        <v>74</v>
      </c>
    </row>
    <row r="33" spans="1:11" ht="15.5">
      <c r="A33" s="15" t="s">
        <v>103</v>
      </c>
      <c r="B33" s="24" t="s">
        <v>104</v>
      </c>
      <c r="C33" s="25"/>
      <c r="D33" s="25"/>
      <c r="E33" s="25"/>
      <c r="F33" s="25"/>
      <c r="G33" s="25"/>
      <c r="H33" s="25"/>
      <c r="I33" s="25"/>
      <c r="J33" s="25"/>
      <c r="K33" s="26"/>
    </row>
    <row r="34" spans="1:11" ht="15.5">
      <c r="A34" s="15" t="s">
        <v>105</v>
      </c>
      <c r="B34" s="24" t="s">
        <v>106</v>
      </c>
      <c r="C34" s="25"/>
      <c r="D34" s="25"/>
      <c r="E34" s="25"/>
      <c r="F34" s="25"/>
      <c r="G34" s="25"/>
      <c r="H34" s="25"/>
      <c r="I34" s="25"/>
      <c r="J34" s="25"/>
      <c r="K34" s="26"/>
    </row>
    <row r="35" spans="1:11">
      <c r="B35">
        <f>K31/K30</f>
        <v>1.8314215820749897E-2</v>
      </c>
      <c r="D35">
        <f>(I31-I32)/I31</f>
        <v>0.31193472145862577</v>
      </c>
    </row>
    <row r="37" spans="1:11">
      <c r="D37" t="s">
        <v>107</v>
      </c>
    </row>
  </sheetData>
  <mergeCells count="8">
    <mergeCell ref="B33:K33"/>
    <mergeCell ref="B34:K34"/>
    <mergeCell ref="C2:K2"/>
    <mergeCell ref="A1:K1"/>
    <mergeCell ref="A10:K10"/>
    <mergeCell ref="A4:K4"/>
    <mergeCell ref="A15:K15"/>
    <mergeCell ref="A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Project Schedule</vt:lpstr>
      <vt:lpstr>Feasibility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suroeyya</dc:creator>
  <cp:lastModifiedBy>suroeyya</cp:lastModifiedBy>
  <cp:revision/>
  <dcterms:created xsi:type="dcterms:W3CDTF">2023-08-08T15:58:35Z</dcterms:created>
  <dcterms:modified xsi:type="dcterms:W3CDTF">2023-10-22T16:10:23Z</dcterms:modified>
</cp:coreProperties>
</file>